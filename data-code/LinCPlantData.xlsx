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lyfernandez/Downloads/"/>
    </mc:Choice>
  </mc:AlternateContent>
  <xr:revisionPtr revIDLastSave="0" documentId="13_ncr:1_{A7EFDCF9-4A18-B04D-8ED4-D235892ADE24}" xr6:coauthVersionLast="47" xr6:coauthVersionMax="47" xr10:uidLastSave="{00000000-0000-0000-0000-000000000000}"/>
  <bookViews>
    <workbookView xWindow="380" yWindow="500" windowWidth="28040" windowHeight="15800" activeTab="4" xr2:uid="{B8E28349-9875-0A4A-8622-87BD109BD1AB}"/>
  </bookViews>
  <sheets>
    <sheet name="West Hill" sheetId="1" r:id="rId1"/>
    <sheet name="Pearson" sheetId="2" r:id="rId2"/>
    <sheet name="Cedarbrae 1" sheetId="3" r:id="rId3"/>
    <sheet name="Cedarbrae 2" sheetId="4" r:id="rId4"/>
    <sheet name="Total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5" l="1"/>
  <c r="C18" i="5"/>
  <c r="C17" i="5"/>
  <c r="C16" i="5"/>
  <c r="C15" i="5"/>
  <c r="C14" i="5"/>
  <c r="C9" i="5"/>
  <c r="C7" i="5"/>
  <c r="D6" i="5"/>
  <c r="C4" i="5"/>
  <c r="C7" i="3"/>
  <c r="C6" i="3"/>
  <c r="C5" i="3"/>
  <c r="C4" i="3"/>
  <c r="C3" i="3"/>
  <c r="C2" i="3"/>
  <c r="C9" i="2"/>
  <c r="C8" i="2"/>
  <c r="C2" i="2"/>
  <c r="C7" i="1"/>
  <c r="D6" i="1"/>
  <c r="C4" i="1"/>
</calcChain>
</file>

<file path=xl/sharedStrings.xml><?xml version="1.0" encoding="utf-8"?>
<sst xmlns="http://schemas.openxmlformats.org/spreadsheetml/2006/main" count="81" uniqueCount="8">
  <si>
    <t>Plant Exposure</t>
  </si>
  <si>
    <t>Absorbance</t>
  </si>
  <si>
    <t>Chlorophyll Concentration</t>
  </si>
  <si>
    <t>Petiole Length</t>
  </si>
  <si>
    <t>Stomata Density</t>
  </si>
  <si>
    <t>Shade</t>
  </si>
  <si>
    <t>Sun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</si>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</sst>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89BC-C751-A34C-922E-68585C8C8005}">
  <dimension ref="A1:E9"/>
  <sheetViews>
    <sheetView workbookViewId="0">
      <selection sqref="A1:E9"/>
    </sheetView>
  </sheetViews>
  <sheetFormatPr baseColWidth="10" defaultRowHeight="16" x14ac:dyDescent="0.2"/>
  <cols>
    <col min="1" max="1" width="15" customWidth="1"/>
    <col min="2" max="2" width="14" customWidth="1"/>
    <col min="3" max="3" width="23.1640625" customWidth="1"/>
    <col min="4" max="4" width="15" customWidth="1"/>
    <col min="5" max="5" width="16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0.20399999999999999</v>
      </c>
      <c r="C2">
        <v>5.0999999999999996</v>
      </c>
      <c r="D2">
        <v>26.3</v>
      </c>
      <c r="E2">
        <v>1</v>
      </c>
    </row>
    <row r="3" spans="1:5" x14ac:dyDescent="0.2">
      <c r="A3" t="s">
        <v>5</v>
      </c>
      <c r="B3">
        <v>0.252</v>
      </c>
      <c r="C3">
        <v>6.3</v>
      </c>
      <c r="D3">
        <v>35</v>
      </c>
      <c r="E3">
        <v>51</v>
      </c>
    </row>
    <row r="4" spans="1:5" x14ac:dyDescent="0.2">
      <c r="A4" t="s">
        <v>5</v>
      </c>
      <c r="B4">
        <v>0.18099999999999999</v>
      </c>
      <c r="C4">
        <f>0.181/0.04</f>
        <v>4.5249999999999995</v>
      </c>
      <c r="D4">
        <v>12.3</v>
      </c>
      <c r="E4">
        <v>42</v>
      </c>
    </row>
    <row r="5" spans="1:5" x14ac:dyDescent="0.2">
      <c r="A5" t="s">
        <v>5</v>
      </c>
      <c r="B5">
        <v>0.247</v>
      </c>
      <c r="C5">
        <v>6.1749999999999998</v>
      </c>
      <c r="D5">
        <v>22.3</v>
      </c>
      <c r="E5">
        <v>7</v>
      </c>
    </row>
    <row r="6" spans="1:5" x14ac:dyDescent="0.2">
      <c r="A6" t="s">
        <v>6</v>
      </c>
      <c r="B6">
        <v>0.106</v>
      </c>
      <c r="C6">
        <v>2.65</v>
      </c>
      <c r="D6">
        <f>AVERAGE(15,50,,40)</f>
        <v>26.25</v>
      </c>
      <c r="E6">
        <v>33</v>
      </c>
    </row>
    <row r="7" spans="1:5" x14ac:dyDescent="0.2">
      <c r="A7" t="s">
        <v>6</v>
      </c>
      <c r="B7">
        <v>0.2</v>
      </c>
      <c r="C7">
        <f>0.2/0.04</f>
        <v>5</v>
      </c>
      <c r="D7">
        <v>53.3</v>
      </c>
      <c r="E7">
        <v>34</v>
      </c>
    </row>
    <row r="8" spans="1:5" x14ac:dyDescent="0.2">
      <c r="A8" t="s">
        <v>6</v>
      </c>
      <c r="B8">
        <v>6.9000000000000006E-2</v>
      </c>
      <c r="C8">
        <v>1.7250000000000001</v>
      </c>
      <c r="D8">
        <v>52.7</v>
      </c>
      <c r="E8">
        <v>91</v>
      </c>
    </row>
    <row r="9" spans="1:5" x14ac:dyDescent="0.2">
      <c r="A9" t="s">
        <v>6</v>
      </c>
      <c r="B9">
        <v>0.214</v>
      </c>
      <c r="C9">
        <v>5.35</v>
      </c>
      <c r="D9">
        <v>40</v>
      </c>
      <c r="E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11EAE-8F55-814D-BF7C-77D0E80655F4}">
  <dimension ref="A1:E9"/>
  <sheetViews>
    <sheetView workbookViewId="0">
      <selection activeCell="A2" sqref="A2:E9"/>
    </sheetView>
  </sheetViews>
  <sheetFormatPr baseColWidth="10" defaultRowHeight="16" x14ac:dyDescent="0.2"/>
  <cols>
    <col min="1" max="1" width="15" customWidth="1"/>
    <col min="2" max="2" width="15.83203125" customWidth="1"/>
    <col min="3" max="3" width="26" customWidth="1"/>
    <col min="4" max="4" width="17.6640625" customWidth="1"/>
    <col min="5" max="5" width="19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0.20300000000000001</v>
      </c>
      <c r="C2">
        <f>0.203/0.04</f>
        <v>5.0750000000000002</v>
      </c>
      <c r="D2">
        <v>50</v>
      </c>
      <c r="E2">
        <v>11</v>
      </c>
    </row>
    <row r="3" spans="1:5" x14ac:dyDescent="0.2">
      <c r="A3" t="s">
        <v>5</v>
      </c>
      <c r="B3">
        <v>0.10199999999999999</v>
      </c>
      <c r="C3">
        <v>2.5499999999999998</v>
      </c>
      <c r="D3">
        <v>27.7</v>
      </c>
      <c r="E3">
        <v>11</v>
      </c>
    </row>
    <row r="4" spans="1:5" x14ac:dyDescent="0.2">
      <c r="A4" t="s">
        <v>5</v>
      </c>
      <c r="B4">
        <v>0.126</v>
      </c>
      <c r="C4">
        <v>3.15</v>
      </c>
      <c r="D4">
        <v>15.7</v>
      </c>
      <c r="E4" t="s">
        <v>7</v>
      </c>
    </row>
    <row r="5" spans="1:5" x14ac:dyDescent="0.2">
      <c r="A5" t="s">
        <v>5</v>
      </c>
      <c r="B5">
        <v>0.18</v>
      </c>
      <c r="C5">
        <v>4.5</v>
      </c>
      <c r="D5">
        <v>24.3</v>
      </c>
      <c r="E5">
        <v>44</v>
      </c>
    </row>
    <row r="6" spans="1:5" x14ac:dyDescent="0.2">
      <c r="A6" t="s">
        <v>6</v>
      </c>
      <c r="B6">
        <v>0.16</v>
      </c>
      <c r="C6">
        <v>4</v>
      </c>
      <c r="D6">
        <v>11.7</v>
      </c>
      <c r="E6">
        <v>0</v>
      </c>
    </row>
    <row r="7" spans="1:5" x14ac:dyDescent="0.2">
      <c r="A7" t="s">
        <v>6</v>
      </c>
      <c r="B7">
        <v>0.17699999999999999</v>
      </c>
      <c r="C7">
        <v>4.4249999999999998</v>
      </c>
      <c r="D7">
        <v>49.3</v>
      </c>
      <c r="E7">
        <v>50</v>
      </c>
    </row>
    <row r="8" spans="1:5" x14ac:dyDescent="0.2">
      <c r="A8" t="s">
        <v>6</v>
      </c>
      <c r="B8">
        <v>0.126</v>
      </c>
      <c r="C8">
        <f>0.126/0.04</f>
        <v>3.15</v>
      </c>
      <c r="D8">
        <v>36.700000000000003</v>
      </c>
      <c r="E8" t="s">
        <v>7</v>
      </c>
    </row>
    <row r="9" spans="1:5" x14ac:dyDescent="0.2">
      <c r="A9" t="s">
        <v>6</v>
      </c>
      <c r="B9">
        <v>0.156</v>
      </c>
      <c r="C9">
        <f>0.156/0.04</f>
        <v>3.9</v>
      </c>
      <c r="D9">
        <v>30</v>
      </c>
      <c r="E9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62E0-E4B7-7344-87D9-1FBD5A3E9316}">
  <dimension ref="A1:E7"/>
  <sheetViews>
    <sheetView workbookViewId="0">
      <selection activeCell="A2" sqref="A2:E7"/>
    </sheetView>
  </sheetViews>
  <sheetFormatPr baseColWidth="10" defaultRowHeight="16" x14ac:dyDescent="0.2"/>
  <cols>
    <col min="1" max="1" width="15.5" customWidth="1"/>
    <col min="2" max="2" width="12.83203125" customWidth="1"/>
    <col min="3" max="3" width="24.33203125" customWidth="1"/>
    <col min="4" max="4" width="15.83203125" customWidth="1"/>
    <col min="5" max="5" width="18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0.184</v>
      </c>
      <c r="C2">
        <f>0.184/0.04</f>
        <v>4.5999999999999996</v>
      </c>
      <c r="D2">
        <v>70.3</v>
      </c>
      <c r="E2">
        <v>23</v>
      </c>
    </row>
    <row r="3" spans="1:5" x14ac:dyDescent="0.2">
      <c r="A3" t="s">
        <v>5</v>
      </c>
      <c r="B3">
        <v>9.7000000000000003E-2</v>
      </c>
      <c r="C3">
        <f>0.097/0.04</f>
        <v>2.4249999999999998</v>
      </c>
      <c r="D3">
        <v>80</v>
      </c>
      <c r="E3" t="s">
        <v>7</v>
      </c>
    </row>
    <row r="4" spans="1:5" x14ac:dyDescent="0.2">
      <c r="A4" t="s">
        <v>5</v>
      </c>
      <c r="B4">
        <v>0.13500000000000001</v>
      </c>
      <c r="C4">
        <f>0.135/0.04</f>
        <v>3.375</v>
      </c>
      <c r="D4">
        <v>25</v>
      </c>
      <c r="E4">
        <v>6</v>
      </c>
    </row>
    <row r="5" spans="1:5" x14ac:dyDescent="0.2">
      <c r="A5" t="s">
        <v>6</v>
      </c>
      <c r="B5">
        <v>0.217</v>
      </c>
      <c r="C5">
        <f>0.217/0.04</f>
        <v>5.4249999999999998</v>
      </c>
      <c r="D5">
        <v>46.7</v>
      </c>
      <c r="E5">
        <v>32</v>
      </c>
    </row>
    <row r="6" spans="1:5" x14ac:dyDescent="0.2">
      <c r="A6" t="s">
        <v>6</v>
      </c>
      <c r="B6">
        <v>0.28499999999999998</v>
      </c>
      <c r="C6">
        <f>0.285/0.04</f>
        <v>7.1249999999999991</v>
      </c>
      <c r="D6">
        <v>23.3</v>
      </c>
      <c r="E6">
        <v>27</v>
      </c>
    </row>
    <row r="7" spans="1:5" x14ac:dyDescent="0.2">
      <c r="A7" t="s">
        <v>6</v>
      </c>
      <c r="B7">
        <v>0.128</v>
      </c>
      <c r="C7">
        <f>0.128/0.04</f>
        <v>3.2</v>
      </c>
      <c r="D7">
        <v>40</v>
      </c>
      <c r="E7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95CD-1B14-9444-AB5F-648DC4707C15}">
  <dimension ref="A1:E7"/>
  <sheetViews>
    <sheetView workbookViewId="0">
      <selection activeCell="A2" sqref="A2:E7"/>
    </sheetView>
  </sheetViews>
  <sheetFormatPr baseColWidth="10" defaultRowHeight="16" x14ac:dyDescent="0.2"/>
  <cols>
    <col min="1" max="1" width="16" customWidth="1"/>
    <col min="2" max="2" width="13.33203125" customWidth="1"/>
    <col min="3" max="3" width="23.6640625" customWidth="1"/>
    <col min="4" max="4" width="17.1640625" customWidth="1"/>
    <col min="5" max="5" width="17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0.13800000000000001</v>
      </c>
      <c r="C2">
        <v>3.45</v>
      </c>
      <c r="D2">
        <v>18.3</v>
      </c>
      <c r="E2">
        <v>6</v>
      </c>
    </row>
    <row r="3" spans="1:5" x14ac:dyDescent="0.2">
      <c r="A3" t="s">
        <v>5</v>
      </c>
      <c r="B3">
        <v>0.127</v>
      </c>
      <c r="C3">
        <v>3.1749999999999998</v>
      </c>
      <c r="D3">
        <v>56</v>
      </c>
      <c r="E3" t="s">
        <v>7</v>
      </c>
    </row>
    <row r="4" spans="1:5" x14ac:dyDescent="0.2">
      <c r="A4" t="s">
        <v>5</v>
      </c>
      <c r="B4">
        <v>0.19800000000000001</v>
      </c>
      <c r="C4">
        <v>4.95</v>
      </c>
      <c r="D4">
        <v>35</v>
      </c>
      <c r="E4">
        <v>10</v>
      </c>
    </row>
    <row r="5" spans="1:5" x14ac:dyDescent="0.2">
      <c r="A5" t="s">
        <v>6</v>
      </c>
      <c r="B5">
        <v>0.13700000000000001</v>
      </c>
      <c r="C5">
        <v>3.2749999999999999</v>
      </c>
      <c r="D5">
        <v>38</v>
      </c>
      <c r="E5">
        <v>17</v>
      </c>
    </row>
    <row r="6" spans="1:5" x14ac:dyDescent="0.2">
      <c r="A6" t="s">
        <v>6</v>
      </c>
      <c r="B6">
        <v>0.161</v>
      </c>
      <c r="C6">
        <v>4.0250000000000004</v>
      </c>
      <c r="D6">
        <v>40.299999999999997</v>
      </c>
      <c r="E6">
        <v>24</v>
      </c>
    </row>
    <row r="7" spans="1:5" x14ac:dyDescent="0.2">
      <c r="A7" t="s">
        <v>6</v>
      </c>
      <c r="B7">
        <v>0.153</v>
      </c>
      <c r="C7">
        <v>3.8250000000000002</v>
      </c>
      <c r="D7">
        <v>55</v>
      </c>
      <c r="E7">
        <v>15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E8BCD-CA12-EF4F-8CC8-D501C020EFB7}">
  <dimension ref="A1:E24"/>
  <sheetViews>
    <sheetView tabSelected="1" workbookViewId="0">
      <selection activeCell="F26" sqref="F26"/>
    </sheetView>
  </sheetViews>
  <sheetFormatPr baseColWidth="10" defaultRowHeight="16" x14ac:dyDescent="0.2"/>
  <cols>
    <col min="1" max="1" width="16.83203125" customWidth="1"/>
    <col min="2" max="2" width="13.6640625" customWidth="1"/>
    <col min="3" max="3" width="25.6640625" customWidth="1"/>
    <col min="4" max="4" width="20.5" customWidth="1"/>
    <col min="5" max="5" width="20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0.20399999999999999</v>
      </c>
      <c r="C2">
        <v>5.0999999999999996</v>
      </c>
      <c r="D2">
        <v>26.3</v>
      </c>
      <c r="E2">
        <v>1</v>
      </c>
    </row>
    <row r="3" spans="1:5" x14ac:dyDescent="0.2">
      <c r="A3" t="s">
        <v>5</v>
      </c>
      <c r="B3">
        <v>0.252</v>
      </c>
      <c r="C3">
        <v>6.3</v>
      </c>
      <c r="D3">
        <v>35</v>
      </c>
      <c r="E3">
        <v>51</v>
      </c>
    </row>
    <row r="4" spans="1:5" x14ac:dyDescent="0.2">
      <c r="A4" t="s">
        <v>5</v>
      </c>
      <c r="B4">
        <v>0.18099999999999999</v>
      </c>
      <c r="C4">
        <f>0.181/0.04</f>
        <v>4.5249999999999995</v>
      </c>
      <c r="D4">
        <v>12.3</v>
      </c>
      <c r="E4">
        <v>42</v>
      </c>
    </row>
    <row r="5" spans="1:5" x14ac:dyDescent="0.2">
      <c r="A5" t="s">
        <v>5</v>
      </c>
      <c r="B5">
        <v>0.247</v>
      </c>
      <c r="C5">
        <v>6.1749999999999998</v>
      </c>
      <c r="D5">
        <v>22.3</v>
      </c>
      <c r="E5">
        <v>7</v>
      </c>
    </row>
    <row r="6" spans="1:5" x14ac:dyDescent="0.2">
      <c r="A6" t="s">
        <v>6</v>
      </c>
      <c r="B6">
        <v>0.106</v>
      </c>
      <c r="C6">
        <v>2.65</v>
      </c>
      <c r="D6">
        <f>AVERAGE(15,50,,40)</f>
        <v>26.25</v>
      </c>
      <c r="E6">
        <v>33</v>
      </c>
    </row>
    <row r="7" spans="1:5" x14ac:dyDescent="0.2">
      <c r="A7" t="s">
        <v>6</v>
      </c>
      <c r="B7">
        <v>0.2</v>
      </c>
      <c r="C7">
        <f>0.2/0.04</f>
        <v>5</v>
      </c>
      <c r="D7">
        <v>53.3</v>
      </c>
      <c r="E7">
        <v>34</v>
      </c>
    </row>
    <row r="8" spans="1:5" x14ac:dyDescent="0.2">
      <c r="A8" t="s">
        <v>6</v>
      </c>
      <c r="B8">
        <v>6.9000000000000006E-2</v>
      </c>
      <c r="C8">
        <v>1.7250000000000001</v>
      </c>
      <c r="D8">
        <v>52.7</v>
      </c>
      <c r="E8">
        <v>91</v>
      </c>
    </row>
    <row r="9" spans="1:5" x14ac:dyDescent="0.2">
      <c r="A9" t="s">
        <v>5</v>
      </c>
      <c r="B9">
        <v>0.20300000000000001</v>
      </c>
      <c r="C9">
        <f>0.203/0.04</f>
        <v>5.0750000000000002</v>
      </c>
      <c r="D9">
        <v>50</v>
      </c>
      <c r="E9">
        <v>11</v>
      </c>
    </row>
    <row r="10" spans="1:5" x14ac:dyDescent="0.2">
      <c r="A10" t="s">
        <v>5</v>
      </c>
      <c r="B10">
        <v>0.10199999999999999</v>
      </c>
      <c r="C10">
        <v>2.5499999999999998</v>
      </c>
      <c r="D10">
        <v>27.7</v>
      </c>
      <c r="E10">
        <v>11</v>
      </c>
    </row>
    <row r="11" spans="1:5" x14ac:dyDescent="0.2">
      <c r="A11" t="s">
        <v>5</v>
      </c>
      <c r="B11">
        <v>0.18</v>
      </c>
      <c r="C11">
        <v>4.5</v>
      </c>
      <c r="D11">
        <v>24.3</v>
      </c>
      <c r="E11">
        <v>44</v>
      </c>
    </row>
    <row r="12" spans="1:5" x14ac:dyDescent="0.2">
      <c r="A12" t="s">
        <v>6</v>
      </c>
      <c r="B12">
        <v>0.16</v>
      </c>
      <c r="C12">
        <v>4</v>
      </c>
      <c r="D12">
        <v>11.7</v>
      </c>
      <c r="E12">
        <v>0</v>
      </c>
    </row>
    <row r="13" spans="1:5" x14ac:dyDescent="0.2">
      <c r="A13" t="s">
        <v>6</v>
      </c>
      <c r="B13">
        <v>0.17699999999999999</v>
      </c>
      <c r="C13">
        <v>4.4249999999999998</v>
      </c>
      <c r="D13">
        <v>49.3</v>
      </c>
      <c r="E13">
        <v>50</v>
      </c>
    </row>
    <row r="14" spans="1:5" x14ac:dyDescent="0.2">
      <c r="A14" t="s">
        <v>6</v>
      </c>
      <c r="B14">
        <v>0.156</v>
      </c>
      <c r="C14">
        <f>0.156/0.04</f>
        <v>3.9</v>
      </c>
      <c r="D14">
        <v>30</v>
      </c>
      <c r="E14">
        <v>51</v>
      </c>
    </row>
    <row r="15" spans="1:5" x14ac:dyDescent="0.2">
      <c r="A15" t="s">
        <v>5</v>
      </c>
      <c r="B15">
        <v>0.184</v>
      </c>
      <c r="C15">
        <f>0.184/0.04</f>
        <v>4.5999999999999996</v>
      </c>
      <c r="D15">
        <v>70.3</v>
      </c>
      <c r="E15">
        <v>23</v>
      </c>
    </row>
    <row r="16" spans="1:5" x14ac:dyDescent="0.2">
      <c r="A16" t="s">
        <v>5</v>
      </c>
      <c r="B16">
        <v>0.13500000000000001</v>
      </c>
      <c r="C16">
        <f>0.135/0.04</f>
        <v>3.375</v>
      </c>
      <c r="D16">
        <v>25</v>
      </c>
      <c r="E16">
        <v>6</v>
      </c>
    </row>
    <row r="17" spans="1:5" x14ac:dyDescent="0.2">
      <c r="A17" t="s">
        <v>6</v>
      </c>
      <c r="B17">
        <v>0.217</v>
      </c>
      <c r="C17">
        <f>0.217/0.04</f>
        <v>5.4249999999999998</v>
      </c>
      <c r="D17">
        <v>46.7</v>
      </c>
      <c r="E17">
        <v>32</v>
      </c>
    </row>
    <row r="18" spans="1:5" x14ac:dyDescent="0.2">
      <c r="A18" t="s">
        <v>6</v>
      </c>
      <c r="B18">
        <v>0.28499999999999998</v>
      </c>
      <c r="C18">
        <f>0.285/0.04</f>
        <v>7.1249999999999991</v>
      </c>
      <c r="D18">
        <v>23.3</v>
      </c>
      <c r="E18">
        <v>27</v>
      </c>
    </row>
    <row r="19" spans="1:5" x14ac:dyDescent="0.2">
      <c r="A19" t="s">
        <v>6</v>
      </c>
      <c r="B19">
        <v>0.128</v>
      </c>
      <c r="C19">
        <f>0.128/0.04</f>
        <v>3.2</v>
      </c>
      <c r="D19">
        <v>40</v>
      </c>
      <c r="E19">
        <v>32</v>
      </c>
    </row>
    <row r="20" spans="1:5" x14ac:dyDescent="0.2">
      <c r="A20" t="s">
        <v>5</v>
      </c>
      <c r="B20">
        <v>0.13800000000000001</v>
      </c>
      <c r="C20">
        <v>3.45</v>
      </c>
      <c r="D20">
        <v>18.3</v>
      </c>
      <c r="E20">
        <v>6</v>
      </c>
    </row>
    <row r="21" spans="1:5" x14ac:dyDescent="0.2">
      <c r="A21" t="s">
        <v>5</v>
      </c>
      <c r="B21">
        <v>0.19800000000000001</v>
      </c>
      <c r="C21">
        <v>4.95</v>
      </c>
      <c r="D21">
        <v>35</v>
      </c>
      <c r="E21">
        <v>10</v>
      </c>
    </row>
    <row r="22" spans="1:5" x14ac:dyDescent="0.2">
      <c r="A22" t="s">
        <v>6</v>
      </c>
      <c r="B22">
        <v>0.13700000000000001</v>
      </c>
      <c r="C22">
        <v>3.2749999999999999</v>
      </c>
      <c r="D22">
        <v>38</v>
      </c>
      <c r="E22">
        <v>17</v>
      </c>
    </row>
    <row r="23" spans="1:5" x14ac:dyDescent="0.2">
      <c r="A23" t="s">
        <v>6</v>
      </c>
      <c r="B23">
        <v>0.161</v>
      </c>
      <c r="C23">
        <v>4.0250000000000004</v>
      </c>
      <c r="D23">
        <v>40.299999999999997</v>
      </c>
      <c r="E23">
        <v>24</v>
      </c>
    </row>
    <row r="24" spans="1:5" x14ac:dyDescent="0.2">
      <c r="A24" t="s">
        <v>6</v>
      </c>
      <c r="B24">
        <v>0.153</v>
      </c>
      <c r="C24">
        <v>3.8250000000000002</v>
      </c>
      <c r="D24">
        <v>55</v>
      </c>
      <c r="E2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West Hill</vt:lpstr>
      <vt:lpstr>Pearson</vt:lpstr>
      <vt:lpstr>Cedarbrae 1</vt:lpstr>
      <vt:lpstr>Cedarbrae 2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2025-10-31T15:23:44Z</dcterms:created>
  <dcterms:modified xsi:type="dcterms:W3CDTF">2025-10-31T16:24:23Z</dcterms:modified>
</cp:coreProperties>
</file>